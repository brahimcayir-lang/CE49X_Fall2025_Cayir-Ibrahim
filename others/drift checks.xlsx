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EF31F632-7249-4EF3-B41C-54B106E92F5F}" xr6:coauthVersionLast="47" xr6:coauthVersionMax="47" xr10:uidLastSave="{00000000-0000-0000-0000-000000000000}"/>
  <bookViews>
    <workbookView xWindow="-108" yWindow="-108" windowWidth="23256" windowHeight="12576" xr2:uid="{A0F79C34-797F-40C6-A5C4-821FFC0CA132}"/>
  </bookViews>
  <sheets>
    <sheet name="Story Response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4" i="2"/>
  <c r="C5" i="2"/>
  <c r="M5" i="2" s="1"/>
  <c r="C6" i="2"/>
  <c r="L6" i="2" s="1"/>
  <c r="C7" i="2"/>
  <c r="M7" i="2" s="1"/>
  <c r="C8" i="2"/>
  <c r="M8" i="2" s="1"/>
  <c r="C9" i="2"/>
  <c r="M9" i="2" s="1"/>
  <c r="C10" i="2"/>
  <c r="M10" i="2" s="1"/>
  <c r="C11" i="2"/>
  <c r="L11" i="2" s="1"/>
  <c r="C12" i="2"/>
  <c r="M12" i="2" s="1"/>
  <c r="C13" i="2"/>
  <c r="M13" i="2" s="1"/>
  <c r="C14" i="2"/>
  <c r="M14" i="2" s="1"/>
  <c r="C15" i="2"/>
  <c r="M15" i="2" s="1"/>
  <c r="C16" i="2"/>
  <c r="L16" i="2" s="1"/>
  <c r="C17" i="2"/>
  <c r="M17" i="2" s="1"/>
  <c r="C18" i="2"/>
  <c r="M18" i="2" s="1"/>
  <c r="C19" i="2"/>
  <c r="M19" i="2" s="1"/>
  <c r="C4" i="2"/>
  <c r="M4" i="2" s="1"/>
  <c r="L14" i="2" l="1"/>
  <c r="L13" i="2"/>
  <c r="L4" i="2"/>
  <c r="L12" i="2"/>
  <c r="M11" i="2"/>
  <c r="L19" i="2"/>
  <c r="L18" i="2"/>
  <c r="L10" i="2"/>
  <c r="L17" i="2"/>
  <c r="L9" i="2"/>
  <c r="L8" i="2"/>
  <c r="M16" i="2"/>
  <c r="L15" i="2"/>
  <c r="L7" i="2"/>
  <c r="M6" i="2"/>
  <c r="L5" i="2"/>
</calcChain>
</file>

<file path=xl/sharedStrings.xml><?xml version="1.0" encoding="utf-8"?>
<sst xmlns="http://schemas.openxmlformats.org/spreadsheetml/2006/main" count="100" uniqueCount="37">
  <si>
    <t>Story</t>
  </si>
  <si>
    <t>Elevation</t>
  </si>
  <si>
    <t>m</t>
  </si>
  <si>
    <t>Location</t>
  </si>
  <si>
    <t>Roof</t>
  </si>
  <si>
    <t>Top</t>
  </si>
  <si>
    <t>11Th Floor</t>
  </si>
  <si>
    <t>10th Floor</t>
  </si>
  <si>
    <t>9th Floor</t>
  </si>
  <si>
    <t>8th Floor</t>
  </si>
  <si>
    <t>7th Floor</t>
  </si>
  <si>
    <t>6th Floor</t>
  </si>
  <si>
    <t>5th Floor</t>
  </si>
  <si>
    <t>4th Floor</t>
  </si>
  <si>
    <t>3rd Floor</t>
  </si>
  <si>
    <t>2nd Floor</t>
  </si>
  <si>
    <t>1st Floor</t>
  </si>
  <si>
    <t>Ground Floor</t>
  </si>
  <si>
    <t>1st Basement</t>
  </si>
  <si>
    <t>2nd Basement</t>
  </si>
  <si>
    <t>3rd Basement</t>
  </si>
  <si>
    <t>Foundation</t>
  </si>
  <si>
    <r>
      <t>λ</t>
    </r>
    <r>
      <rPr>
        <b/>
        <vertAlign val="subscript"/>
        <sz val="11"/>
        <color theme="1"/>
        <rFont val="Aptos Narrow"/>
        <family val="2"/>
        <scheme val="minor"/>
      </rPr>
      <t>y</t>
    </r>
  </si>
  <si>
    <r>
      <t>λ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</si>
  <si>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t>unitless</t>
  </si>
  <si>
    <t>κ</t>
  </si>
  <si>
    <r>
      <t>X-Dir (δ</t>
    </r>
    <r>
      <rPr>
        <b/>
        <vertAlign val="subscript"/>
        <sz val="11"/>
        <color theme="1"/>
        <rFont val="Aptos Narrow"/>
        <family val="2"/>
        <scheme val="minor"/>
      </rPr>
      <t>i,max - x</t>
    </r>
    <r>
      <rPr>
        <b/>
        <sz val="11"/>
        <color theme="1"/>
        <rFont val="Aptos Narrow"/>
        <family val="2"/>
        <scheme val="minor"/>
      </rPr>
      <t>)</t>
    </r>
  </si>
  <si>
    <r>
      <t>Y Dir (δ</t>
    </r>
    <r>
      <rPr>
        <b/>
        <vertAlign val="subscript"/>
        <sz val="11"/>
        <color theme="1"/>
        <rFont val="Aptos Narrow"/>
        <family val="2"/>
        <scheme val="minor"/>
      </rPr>
      <t>i,max - y</t>
    </r>
    <r>
      <rPr>
        <b/>
        <sz val="11"/>
        <color theme="1"/>
        <rFont val="Aptos Narrow"/>
        <family val="2"/>
        <scheme val="minor"/>
      </rPr>
      <t>)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</si>
  <si>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sz val="11"/>
        <color theme="1"/>
        <rFont val="Aptos Narrow"/>
        <family val="2"/>
        <scheme val="minor"/>
      </rPr>
      <t xml:space="preserve"> (Floor Height)</t>
    </r>
  </si>
  <si>
    <r>
      <t>(δ</t>
    </r>
    <r>
      <rPr>
        <b/>
        <vertAlign val="subscript"/>
        <sz val="11"/>
        <color theme="1"/>
        <rFont val="Aptos Narrow"/>
        <family val="2"/>
        <scheme val="minor"/>
      </rPr>
      <t>i,max - y</t>
    </r>
    <r>
      <rPr>
        <b/>
        <sz val="11"/>
        <color theme="1"/>
        <rFont val="Aptos Narrow"/>
        <family val="2"/>
        <scheme val="minor"/>
      </rPr>
      <t>) / h</t>
    </r>
    <r>
      <rPr>
        <b/>
        <vertAlign val="subscript"/>
        <sz val="11"/>
        <color theme="1"/>
        <rFont val="Aptos Narrow"/>
        <family val="2"/>
        <scheme val="minor"/>
      </rPr>
      <t>i</t>
    </r>
  </si>
  <si>
    <r>
      <t>(δ</t>
    </r>
    <r>
      <rPr>
        <b/>
        <vertAlign val="subscript"/>
        <sz val="11"/>
        <color theme="1"/>
        <rFont val="Aptos Narrow"/>
        <family val="2"/>
        <scheme val="minor"/>
      </rPr>
      <t>i,max - x</t>
    </r>
    <r>
      <rPr>
        <b/>
        <sz val="11"/>
        <color theme="1"/>
        <rFont val="Aptos Narrow"/>
        <family val="2"/>
        <scheme val="minor"/>
      </rPr>
      <t>) / h</t>
    </r>
    <r>
      <rPr>
        <b/>
        <vertAlign val="subscript"/>
        <sz val="11"/>
        <color theme="1"/>
        <rFont val="Aptos Narrow"/>
        <family val="2"/>
        <scheme val="minor"/>
      </rPr>
      <t>i</t>
    </r>
  </si>
  <si>
    <r>
      <t>0.008κ / λ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</si>
  <si>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t>0.008κ / λ</t>
    </r>
    <r>
      <rPr>
        <b/>
        <vertAlign val="subscript"/>
        <sz val="11"/>
        <color theme="1"/>
        <rFont val="Aptos Narrow"/>
        <family val="2"/>
        <scheme val="minor"/>
      </rPr>
      <t>y</t>
    </r>
  </si>
  <si>
    <t>TABLE:  Story Drift Ratio Check</t>
  </si>
  <si>
    <r>
      <t>(δ</t>
    </r>
    <r>
      <rPr>
        <b/>
        <vertAlign val="subscript"/>
        <sz val="11"/>
        <color theme="1"/>
        <rFont val="Aptos Narrow"/>
        <family val="2"/>
        <scheme val="minor"/>
      </rPr>
      <t>i,max - x</t>
    </r>
    <r>
      <rPr>
        <b/>
        <sz val="11"/>
        <color theme="1"/>
        <rFont val="Aptos Narrow"/>
        <family val="2"/>
        <scheme val="minor"/>
      </rPr>
      <t>) / h</t>
    </r>
    <r>
      <rPr>
        <b/>
        <vertAlign val="subscript"/>
        <sz val="11"/>
        <color theme="1"/>
        <rFont val="Aptos Narrow"/>
        <family val="2"/>
        <scheme val="minor"/>
      </rPr>
      <t xml:space="preserve">i </t>
    </r>
    <r>
      <rPr>
        <b/>
        <sz val="11"/>
        <color theme="1"/>
        <rFont val="Aptos Narrow"/>
        <family val="2"/>
        <scheme val="minor"/>
      </rPr>
      <t>&lt; 0.008κ / λ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</si>
  <si>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t>(δ</t>
    </r>
    <r>
      <rPr>
        <b/>
        <vertAlign val="subscript"/>
        <sz val="11"/>
        <color theme="1"/>
        <rFont val="Aptos Narrow"/>
        <family val="2"/>
        <scheme val="minor"/>
      </rPr>
      <t>i,max - y</t>
    </r>
    <r>
      <rPr>
        <b/>
        <sz val="11"/>
        <color theme="1"/>
        <rFont val="Aptos Narrow"/>
        <family val="2"/>
        <scheme val="minor"/>
      </rPr>
      <t>) / h</t>
    </r>
    <r>
      <rPr>
        <b/>
        <vertAlign val="subscript"/>
        <sz val="11"/>
        <color theme="1"/>
        <rFont val="Aptos Narrow"/>
        <family val="2"/>
        <scheme val="minor"/>
      </rPr>
      <t xml:space="preserve">i </t>
    </r>
    <r>
      <rPr>
        <b/>
        <sz val="11"/>
        <color theme="1"/>
        <rFont val="Aptos Narrow"/>
        <family val="2"/>
        <scheme val="minor"/>
      </rPr>
      <t>&lt;</t>
    </r>
    <r>
      <rPr>
        <b/>
        <vertAlign val="subscript"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0.008κ / λ</t>
    </r>
    <r>
      <rPr>
        <b/>
        <vertAlign val="subscript"/>
        <sz val="11"/>
        <color theme="1"/>
        <rFont val="Aptos Narrow"/>
        <family val="2"/>
        <scheme val="minor"/>
      </rPr>
      <t>y</t>
    </r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</si>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</sst>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0000"/>
    <numFmt numFmtId="167" formatCode="0.00000"/>
    <numFmt numFmtId="180" formatCode="0.0000000000000000"/>
  </numFmts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0" fillId="0" borderId="0" xfId="0" applyNumberFormat="1"/>
    <xf numFmtId="164" fontId="1" fillId="3" borderId="1" xfId="0" applyNumberFormat="1" applyFon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0" borderId="0" xfId="0" applyNumberFormat="1"/>
    <xf numFmtId="165" fontId="1" fillId="3" borderId="1" xfId="0" applyNumberFormat="1" applyFon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0" fontId="0" fillId="4" borderId="0" xfId="0" applyFill="1"/>
    <xf numFmtId="2" fontId="0" fillId="4" borderId="0" xfId="0" applyNumberFormat="1" applyFill="1"/>
    <xf numFmtId="0" fontId="0" fillId="5" borderId="0" xfId="0" applyFill="1"/>
    <xf numFmtId="2" fontId="0" fillId="5" borderId="0" xfId="0" applyNumberFormat="1" applyFill="1"/>
    <xf numFmtId="0" fontId="0" fillId="6" borderId="0" xfId="0" applyFill="1"/>
    <xf numFmtId="2" fontId="0" fillId="6" borderId="0" xfId="0" applyNumberFormat="1" applyFill="1"/>
    <xf numFmtId="0" fontId="0" fillId="7" borderId="0" xfId="0" applyFill="1"/>
    <xf numFmtId="2" fontId="0" fillId="7" borderId="0" xfId="0" applyNumberFormat="1" applyFill="1"/>
    <xf numFmtId="164" fontId="0" fillId="7" borderId="0" xfId="0" applyNumberFormat="1" applyFill="1"/>
    <xf numFmtId="165" fontId="0" fillId="8" borderId="0" xfId="0" applyNumberFormat="1" applyFill="1"/>
    <xf numFmtId="0" fontId="0" fillId="8" borderId="0" xfId="0" applyFill="1"/>
    <xf numFmtId="0" fontId="0" fillId="9" borderId="0" xfId="0" applyFill="1"/>
    <xf numFmtId="164" fontId="0" fillId="9" borderId="0" xfId="0" applyNumberFormat="1" applyFill="1"/>
    <xf numFmtId="167" fontId="0" fillId="9" borderId="0" xfId="0" applyNumberFormat="1" applyFill="1"/>
    <xf numFmtId="164" fontId="0" fillId="8" borderId="0" xfId="0" applyNumberFormat="1" applyFill="1"/>
    <xf numFmtId="0" fontId="1" fillId="0" borderId="0" xfId="0" applyFont="1" applyAlignment="1">
      <alignment horizontal="right"/>
    </xf>
    <xf numFmtId="0" fontId="1" fillId="7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80" fontId="0" fillId="9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520D-3274-43F5-945C-86076A8DB5D4}">
  <dimension ref="A1:O20"/>
  <sheetViews>
    <sheetView tabSelected="1" zoomScale="85" zoomScaleNormal="85" workbookViewId="0">
      <selection sqref="A1:O20"/>
    </sheetView>
  </sheetViews>
  <sheetFormatPr defaultRowHeight="14.4" x14ac:dyDescent="0.3"/>
  <cols>
    <col min="1" max="1" width="20.109375" bestFit="1" customWidth="1"/>
    <col min="2" max="2" width="8.77734375" customWidth="1"/>
    <col min="3" max="3" width="18.33203125" customWidth="1"/>
    <col min="4" max="4" width="8.77734375" customWidth="1"/>
    <col min="5" max="5" width="13.6640625" style="6" bestFit="1" customWidth="1"/>
    <col min="6" max="6" width="14.77734375" style="6" bestFit="1" customWidth="1"/>
    <col min="7" max="7" width="8.88671875" style="6"/>
    <col min="8" max="8" width="9.5546875" bestFit="1" customWidth="1"/>
    <col min="10" max="10" width="11.5546875" bestFit="1" customWidth="1"/>
    <col min="11" max="11" width="12.77734375" customWidth="1"/>
    <col min="12" max="12" width="10.44140625" bestFit="1" customWidth="1"/>
    <col min="13" max="13" width="19.44140625" bestFit="1" customWidth="1"/>
    <col min="14" max="14" width="20.5546875" bestFit="1" customWidth="1"/>
    <col min="15" max="15" width="20.44140625" bestFit="1" customWidth="1"/>
  </cols>
  <sheetData>
    <row r="1" spans="1:15" x14ac:dyDescent="0.3">
      <c r="A1" s="26" t="s">
        <v>33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15.6" x14ac:dyDescent="0.35">
      <c r="A2" s="1" t="s">
        <v>0</v>
      </c>
      <c r="B2" s="1" t="s">
        <v>1</v>
      </c>
      <c r="C2" s="1" t="s">
        <v>28</v>
      </c>
      <c r="D2" s="1" t="s">
        <v>3</v>
      </c>
      <c r="E2" s="4" t="s">
        <v>26</v>
      </c>
      <c r="F2" s="4" t="s">
        <v>27</v>
      </c>
      <c r="G2" s="4" t="s">
        <v>23</v>
      </c>
      <c r="H2" s="7" t="s">
        <v>22</v>
      </c>
      <c r="I2" s="7" t="s">
        <v>25</v>
      </c>
      <c r="J2" s="7" t="s">
        <v>31</v>
      </c>
      <c r="K2" s="7" t="s">
        <v>32</v>
      </c>
      <c r="L2" s="7" t="s">
        <v>30</v>
      </c>
      <c r="M2" s="7" t="s">
        <v>29</v>
      </c>
      <c r="N2" s="7" t="s">
        <v>34</v>
      </c>
      <c r="O2" s="7" t="s">
        <v>35</v>
      </c>
    </row>
    <row r="3" spans="1:15" x14ac:dyDescent="0.3">
      <c r="A3" s="2"/>
      <c r="B3" s="2" t="s">
        <v>2</v>
      </c>
      <c r="C3" s="2" t="s">
        <v>2</v>
      </c>
      <c r="D3" s="2" t="s">
        <v>24</v>
      </c>
      <c r="E3" s="5" t="s">
        <v>24</v>
      </c>
      <c r="F3" s="5" t="s">
        <v>24</v>
      </c>
      <c r="G3" s="5" t="s">
        <v>24</v>
      </c>
      <c r="H3" s="2" t="s">
        <v>24</v>
      </c>
      <c r="I3" s="8" t="s">
        <v>24</v>
      </c>
      <c r="J3" s="8" t="s">
        <v>24</v>
      </c>
      <c r="K3" s="8" t="s">
        <v>24</v>
      </c>
      <c r="L3" s="8" t="s">
        <v>24</v>
      </c>
      <c r="M3" s="8" t="s">
        <v>24</v>
      </c>
      <c r="N3" s="8" t="s">
        <v>24</v>
      </c>
      <c r="O3" s="8" t="s">
        <v>24</v>
      </c>
    </row>
    <row r="4" spans="1:15" x14ac:dyDescent="0.3">
      <c r="A4" s="11" t="s">
        <v>4</v>
      </c>
      <c r="B4" s="12">
        <v>46.2</v>
      </c>
      <c r="C4" s="12">
        <f>B4-B5</f>
        <v>3</v>
      </c>
      <c r="D4" t="s">
        <v>5</v>
      </c>
      <c r="E4" s="23">
        <v>4.8830000000000002E-3</v>
      </c>
      <c r="F4" s="21">
        <v>9.5000000000000005E-5</v>
      </c>
      <c r="G4" s="23">
        <v>0.39756000000000002</v>
      </c>
      <c r="H4" s="22">
        <v>0.39743000000000001</v>
      </c>
      <c r="I4" s="3">
        <v>1</v>
      </c>
      <c r="J4" s="18">
        <f>0.008/G4</f>
        <v>2.0122748767481637E-2</v>
      </c>
      <c r="K4" s="20">
        <f>0.008/H4</f>
        <v>2.0129330951362503E-2</v>
      </c>
      <c r="L4" s="19">
        <f>E4/C4</f>
        <v>1.6276666666666668E-3</v>
      </c>
      <c r="M4" s="27">
        <f>F4/C4</f>
        <v>3.1666666666666666E-5</v>
      </c>
      <c r="N4" s="24" t="s">
        <v>36</v>
      </c>
      <c r="O4" s="24" t="s">
        <v>36</v>
      </c>
    </row>
    <row r="5" spans="1:15" x14ac:dyDescent="0.3">
      <c r="A5" s="13" t="s">
        <v>6</v>
      </c>
      <c r="B5" s="13">
        <v>43.2</v>
      </c>
      <c r="C5" s="14">
        <f t="shared" ref="C5:C19" si="0">B5-B6</f>
        <v>3.6000000000000014</v>
      </c>
      <c r="D5" t="s">
        <v>5</v>
      </c>
      <c r="E5" s="23">
        <v>5.7479999999999996E-3</v>
      </c>
      <c r="F5" s="21">
        <v>2.99E-4</v>
      </c>
      <c r="G5" s="23">
        <v>0.39756000000000002</v>
      </c>
      <c r="H5" s="22">
        <v>0.39743000000000001</v>
      </c>
      <c r="I5" s="3">
        <v>1</v>
      </c>
      <c r="J5" s="18">
        <f t="shared" ref="J5:J19" si="1">0.008/G5</f>
        <v>2.0122748767481637E-2</v>
      </c>
      <c r="K5" s="20">
        <f t="shared" ref="K5:K19" si="2">0.008/H5</f>
        <v>2.0129330951362503E-2</v>
      </c>
      <c r="L5" s="19">
        <f t="shared" ref="L5:L19" si="3">E5/C5</f>
        <v>1.5966666666666659E-3</v>
      </c>
      <c r="M5" s="27">
        <f t="shared" ref="M5:M19" si="4">F5/C5</f>
        <v>8.3055555555555522E-5</v>
      </c>
      <c r="N5" s="24" t="s">
        <v>36</v>
      </c>
      <c r="O5" s="24" t="s">
        <v>36</v>
      </c>
    </row>
    <row r="6" spans="1:15" x14ac:dyDescent="0.3">
      <c r="A6" s="13" t="s">
        <v>7</v>
      </c>
      <c r="B6" s="13">
        <v>39.6</v>
      </c>
      <c r="C6" s="14">
        <f t="shared" si="0"/>
        <v>3.6000000000000014</v>
      </c>
      <c r="D6" t="s">
        <v>5</v>
      </c>
      <c r="E6" s="23">
        <v>5.9080000000000001E-3</v>
      </c>
      <c r="F6" s="21">
        <v>2.7999999999999998E-4</v>
      </c>
      <c r="G6" s="23">
        <v>0.39756000000000002</v>
      </c>
      <c r="H6" s="22">
        <v>0.39743000000000001</v>
      </c>
      <c r="I6" s="3">
        <v>1</v>
      </c>
      <c r="J6" s="18">
        <f t="shared" si="1"/>
        <v>2.0122748767481637E-2</v>
      </c>
      <c r="K6" s="20">
        <f t="shared" si="2"/>
        <v>2.0129330951362503E-2</v>
      </c>
      <c r="L6" s="19">
        <f t="shared" si="3"/>
        <v>1.6411111111111105E-3</v>
      </c>
      <c r="M6" s="27">
        <f t="shared" si="4"/>
        <v>7.7777777777777741E-5</v>
      </c>
      <c r="N6" s="24" t="s">
        <v>36</v>
      </c>
      <c r="O6" s="24" t="s">
        <v>36</v>
      </c>
    </row>
    <row r="7" spans="1:15" x14ac:dyDescent="0.3">
      <c r="A7" s="13" t="s">
        <v>8</v>
      </c>
      <c r="B7" s="14">
        <v>36</v>
      </c>
      <c r="C7" s="14">
        <f t="shared" si="0"/>
        <v>3.6000000000000014</v>
      </c>
      <c r="D7" t="s">
        <v>5</v>
      </c>
      <c r="E7" s="23">
        <v>6.0439999999999999E-3</v>
      </c>
      <c r="F7" s="21">
        <v>2.7599999999999999E-4</v>
      </c>
      <c r="G7" s="23">
        <v>0.39756000000000002</v>
      </c>
      <c r="H7" s="22">
        <v>0.39743000000000001</v>
      </c>
      <c r="I7" s="3">
        <v>1</v>
      </c>
      <c r="J7" s="18">
        <f t="shared" si="1"/>
        <v>2.0122748767481637E-2</v>
      </c>
      <c r="K7" s="20">
        <f t="shared" si="2"/>
        <v>2.0129330951362503E-2</v>
      </c>
      <c r="L7" s="19">
        <f t="shared" si="3"/>
        <v>1.6788888888888882E-3</v>
      </c>
      <c r="M7" s="27">
        <f t="shared" si="4"/>
        <v>7.6666666666666628E-5</v>
      </c>
      <c r="N7" s="24" t="s">
        <v>36</v>
      </c>
      <c r="O7" s="24" t="s">
        <v>36</v>
      </c>
    </row>
    <row r="8" spans="1:15" x14ac:dyDescent="0.3">
      <c r="A8" s="13" t="s">
        <v>9</v>
      </c>
      <c r="B8" s="13">
        <v>32.4</v>
      </c>
      <c r="C8" s="14">
        <f t="shared" si="0"/>
        <v>3.5999999999999979</v>
      </c>
      <c r="D8" t="s">
        <v>5</v>
      </c>
      <c r="E8" s="23">
        <v>6.0270000000000002E-3</v>
      </c>
      <c r="F8" s="21">
        <v>2.3900000000000001E-4</v>
      </c>
      <c r="G8" s="23">
        <v>0.39756000000000002</v>
      </c>
      <c r="H8" s="22">
        <v>0.39743000000000001</v>
      </c>
      <c r="I8" s="3">
        <v>1</v>
      </c>
      <c r="J8" s="18">
        <f t="shared" si="1"/>
        <v>2.0122748767481637E-2</v>
      </c>
      <c r="K8" s="20">
        <f t="shared" si="2"/>
        <v>2.0129330951362503E-2</v>
      </c>
      <c r="L8" s="19">
        <f t="shared" si="3"/>
        <v>1.6741666666666678E-3</v>
      </c>
      <c r="M8" s="27">
        <f t="shared" si="4"/>
        <v>6.6388888888888929E-5</v>
      </c>
      <c r="N8" s="24" t="s">
        <v>36</v>
      </c>
      <c r="O8" s="24" t="s">
        <v>36</v>
      </c>
    </row>
    <row r="9" spans="1:15" x14ac:dyDescent="0.3">
      <c r="A9" s="13" t="s">
        <v>10</v>
      </c>
      <c r="B9" s="13">
        <v>28.8</v>
      </c>
      <c r="C9" s="14">
        <f t="shared" si="0"/>
        <v>3.6000000000000014</v>
      </c>
      <c r="D9" t="s">
        <v>5</v>
      </c>
      <c r="E9" s="23">
        <v>5.8430000000000001E-3</v>
      </c>
      <c r="F9" s="21">
        <v>2.22E-4</v>
      </c>
      <c r="G9" s="23">
        <v>0.39756000000000002</v>
      </c>
      <c r="H9" s="22">
        <v>0.39743000000000001</v>
      </c>
      <c r="I9" s="3">
        <v>1</v>
      </c>
      <c r="J9" s="18">
        <f t="shared" si="1"/>
        <v>2.0122748767481637E-2</v>
      </c>
      <c r="K9" s="20">
        <f t="shared" si="2"/>
        <v>2.0129330951362503E-2</v>
      </c>
      <c r="L9" s="19">
        <f t="shared" si="3"/>
        <v>1.6230555555555549E-3</v>
      </c>
      <c r="M9" s="27">
        <f t="shared" si="4"/>
        <v>6.1666666666666643E-5</v>
      </c>
      <c r="N9" s="24" t="s">
        <v>36</v>
      </c>
      <c r="O9" s="24" t="s">
        <v>36</v>
      </c>
    </row>
    <row r="10" spans="1:15" x14ac:dyDescent="0.3">
      <c r="A10" s="13" t="s">
        <v>11</v>
      </c>
      <c r="B10" s="13">
        <v>25.2</v>
      </c>
      <c r="C10" s="14">
        <f t="shared" si="0"/>
        <v>3.5999999999999979</v>
      </c>
      <c r="D10" t="s">
        <v>5</v>
      </c>
      <c r="E10" s="23">
        <v>5.7530000000000003E-3</v>
      </c>
      <c r="F10" s="21">
        <v>2.31E-4</v>
      </c>
      <c r="G10" s="23">
        <v>0.39756000000000002</v>
      </c>
      <c r="H10" s="22">
        <v>0.39743000000000001</v>
      </c>
      <c r="I10" s="3">
        <v>1</v>
      </c>
      <c r="J10" s="18">
        <f t="shared" si="1"/>
        <v>2.0122748767481637E-2</v>
      </c>
      <c r="K10" s="20">
        <f t="shared" si="2"/>
        <v>2.0129330951362503E-2</v>
      </c>
      <c r="L10" s="19">
        <f t="shared" si="3"/>
        <v>1.5980555555555566E-3</v>
      </c>
      <c r="M10" s="27">
        <f t="shared" si="4"/>
        <v>6.4166666666666704E-5</v>
      </c>
      <c r="N10" s="24" t="s">
        <v>36</v>
      </c>
      <c r="O10" s="24" t="s">
        <v>36</v>
      </c>
    </row>
    <row r="11" spans="1:15" x14ac:dyDescent="0.3">
      <c r="A11" s="13" t="s">
        <v>12</v>
      </c>
      <c r="B11" s="13">
        <v>21.6</v>
      </c>
      <c r="C11" s="14">
        <f t="shared" si="0"/>
        <v>3.6000000000000014</v>
      </c>
      <c r="D11" t="s">
        <v>5</v>
      </c>
      <c r="E11" s="23">
        <v>5.5950000000000001E-3</v>
      </c>
      <c r="F11" s="21">
        <v>2.42E-4</v>
      </c>
      <c r="G11" s="23">
        <v>0.39756000000000002</v>
      </c>
      <c r="H11" s="22">
        <v>0.39743000000000001</v>
      </c>
      <c r="I11" s="3">
        <v>1</v>
      </c>
      <c r="J11" s="18">
        <f t="shared" si="1"/>
        <v>2.0122748767481637E-2</v>
      </c>
      <c r="K11" s="20">
        <f t="shared" si="2"/>
        <v>2.0129330951362503E-2</v>
      </c>
      <c r="L11" s="19">
        <f t="shared" si="3"/>
        <v>1.5541666666666662E-3</v>
      </c>
      <c r="M11" s="27">
        <f t="shared" si="4"/>
        <v>6.7222222222222192E-5</v>
      </c>
      <c r="N11" s="24" t="s">
        <v>36</v>
      </c>
      <c r="O11" s="24" t="s">
        <v>36</v>
      </c>
    </row>
    <row r="12" spans="1:15" x14ac:dyDescent="0.3">
      <c r="A12" s="13" t="s">
        <v>13</v>
      </c>
      <c r="B12" s="14">
        <v>18</v>
      </c>
      <c r="C12" s="14">
        <f t="shared" si="0"/>
        <v>3.5999999999999996</v>
      </c>
      <c r="D12" t="s">
        <v>5</v>
      </c>
      <c r="E12" s="23">
        <v>5.3629999999999997E-3</v>
      </c>
      <c r="F12" s="21">
        <v>2.22E-4</v>
      </c>
      <c r="G12" s="23">
        <v>0.39756000000000002</v>
      </c>
      <c r="H12" s="22">
        <v>0.39743000000000001</v>
      </c>
      <c r="I12" s="3">
        <v>1</v>
      </c>
      <c r="J12" s="18">
        <f t="shared" si="1"/>
        <v>2.0122748767481637E-2</v>
      </c>
      <c r="K12" s="20">
        <f t="shared" si="2"/>
        <v>2.0129330951362503E-2</v>
      </c>
      <c r="L12" s="19">
        <f t="shared" si="3"/>
        <v>1.4897222222222224E-3</v>
      </c>
      <c r="M12" s="27">
        <f t="shared" si="4"/>
        <v>6.166666666666667E-5</v>
      </c>
      <c r="N12" s="24" t="s">
        <v>36</v>
      </c>
      <c r="O12" s="24" t="s">
        <v>36</v>
      </c>
    </row>
    <row r="13" spans="1:15" x14ac:dyDescent="0.3">
      <c r="A13" s="13" t="s">
        <v>14</v>
      </c>
      <c r="B13" s="13">
        <v>14.4</v>
      </c>
      <c r="C13" s="14">
        <f t="shared" si="0"/>
        <v>3.5999999999999996</v>
      </c>
      <c r="D13" t="s">
        <v>5</v>
      </c>
      <c r="E13" s="23">
        <v>5.0020000000000004E-3</v>
      </c>
      <c r="F13" s="21">
        <v>1.8699999999999999E-4</v>
      </c>
      <c r="G13" s="23">
        <v>0.39756000000000002</v>
      </c>
      <c r="H13" s="22">
        <v>0.39743000000000001</v>
      </c>
      <c r="I13" s="3">
        <v>1</v>
      </c>
      <c r="J13" s="18">
        <f t="shared" si="1"/>
        <v>2.0122748767481637E-2</v>
      </c>
      <c r="K13" s="20">
        <f t="shared" si="2"/>
        <v>2.0129330951362503E-2</v>
      </c>
      <c r="L13" s="19">
        <f t="shared" si="3"/>
        <v>1.3894444444444447E-3</v>
      </c>
      <c r="M13" s="27">
        <f t="shared" si="4"/>
        <v>5.1944444444444446E-5</v>
      </c>
      <c r="N13" s="24" t="s">
        <v>36</v>
      </c>
      <c r="O13" s="24" t="s">
        <v>36</v>
      </c>
    </row>
    <row r="14" spans="1:15" x14ac:dyDescent="0.3">
      <c r="A14" s="13" t="s">
        <v>15</v>
      </c>
      <c r="B14" s="13">
        <v>10.8</v>
      </c>
      <c r="C14" s="14">
        <f t="shared" si="0"/>
        <v>3.6000000000000005</v>
      </c>
      <c r="D14" t="s">
        <v>5</v>
      </c>
      <c r="E14" s="23">
        <v>4.7200000000000002E-3</v>
      </c>
      <c r="F14" s="21">
        <v>1.74E-4</v>
      </c>
      <c r="G14" s="23">
        <v>0.39756000000000002</v>
      </c>
      <c r="H14" s="22">
        <v>0.39743000000000001</v>
      </c>
      <c r="I14" s="3">
        <v>1</v>
      </c>
      <c r="J14" s="18">
        <f t="shared" si="1"/>
        <v>2.0122748767481637E-2</v>
      </c>
      <c r="K14" s="20">
        <f t="shared" si="2"/>
        <v>2.0129330951362503E-2</v>
      </c>
      <c r="L14" s="19">
        <f t="shared" si="3"/>
        <v>1.311111111111111E-3</v>
      </c>
      <c r="M14" s="27">
        <f t="shared" si="4"/>
        <v>4.8333333333333327E-5</v>
      </c>
      <c r="N14" s="24" t="s">
        <v>36</v>
      </c>
      <c r="O14" s="24" t="s">
        <v>36</v>
      </c>
    </row>
    <row r="15" spans="1:15" x14ac:dyDescent="0.3">
      <c r="A15" s="13" t="s">
        <v>16</v>
      </c>
      <c r="B15" s="13">
        <v>7.2</v>
      </c>
      <c r="C15" s="14">
        <f t="shared" si="0"/>
        <v>3.6</v>
      </c>
      <c r="D15" t="s">
        <v>5</v>
      </c>
      <c r="E15" s="23">
        <v>4.62E-3</v>
      </c>
      <c r="F15" s="21">
        <v>2.1499999999999999E-4</v>
      </c>
      <c r="G15" s="23">
        <v>0.39756000000000002</v>
      </c>
      <c r="H15" s="22">
        <v>0.39743000000000001</v>
      </c>
      <c r="I15" s="3">
        <v>1</v>
      </c>
      <c r="J15" s="18">
        <f t="shared" si="1"/>
        <v>2.0122748767481637E-2</v>
      </c>
      <c r="K15" s="20">
        <f t="shared" si="2"/>
        <v>2.0129330951362503E-2</v>
      </c>
      <c r="L15" s="19">
        <f t="shared" si="3"/>
        <v>1.2833333333333334E-3</v>
      </c>
      <c r="M15" s="27">
        <f t="shared" si="4"/>
        <v>5.972222222222222E-5</v>
      </c>
      <c r="N15" s="24" t="s">
        <v>36</v>
      </c>
      <c r="O15" s="24" t="s">
        <v>36</v>
      </c>
    </row>
    <row r="16" spans="1:15" x14ac:dyDescent="0.3">
      <c r="A16" s="13" t="s">
        <v>17</v>
      </c>
      <c r="B16" s="13">
        <v>3.6</v>
      </c>
      <c r="C16" s="14">
        <f t="shared" si="0"/>
        <v>3.6</v>
      </c>
      <c r="D16" t="s">
        <v>5</v>
      </c>
      <c r="E16" s="23">
        <v>4.4590000000000003E-3</v>
      </c>
      <c r="F16" s="21">
        <v>4.4799999999999999E-4</v>
      </c>
      <c r="G16" s="23">
        <v>0.39756000000000002</v>
      </c>
      <c r="H16" s="22">
        <v>0.39743000000000001</v>
      </c>
      <c r="I16" s="3">
        <v>1</v>
      </c>
      <c r="J16" s="18">
        <f t="shared" si="1"/>
        <v>2.0122748767481637E-2</v>
      </c>
      <c r="K16" s="20">
        <f t="shared" si="2"/>
        <v>2.0129330951362503E-2</v>
      </c>
      <c r="L16" s="19">
        <f t="shared" si="3"/>
        <v>1.2386111111111111E-3</v>
      </c>
      <c r="M16" s="27">
        <f t="shared" si="4"/>
        <v>1.2444444444444444E-4</v>
      </c>
      <c r="N16" s="24" t="s">
        <v>36</v>
      </c>
      <c r="O16" s="24" t="s">
        <v>36</v>
      </c>
    </row>
    <row r="17" spans="1:15" x14ac:dyDescent="0.3">
      <c r="A17" s="9" t="s">
        <v>18</v>
      </c>
      <c r="B17" s="10">
        <v>0</v>
      </c>
      <c r="C17" s="10">
        <f t="shared" si="0"/>
        <v>3.2</v>
      </c>
      <c r="D17" t="s">
        <v>5</v>
      </c>
      <c r="E17" s="23">
        <v>2.1480000000000002E-3</v>
      </c>
      <c r="F17" s="21">
        <v>4.6799999999999999E-4</v>
      </c>
      <c r="G17" s="23">
        <v>0.39756000000000002</v>
      </c>
      <c r="H17" s="22">
        <v>0.39743000000000001</v>
      </c>
      <c r="I17" s="3">
        <v>1</v>
      </c>
      <c r="J17" s="18">
        <f t="shared" si="1"/>
        <v>2.0122748767481637E-2</v>
      </c>
      <c r="K17" s="20">
        <f t="shared" si="2"/>
        <v>2.0129330951362503E-2</v>
      </c>
      <c r="L17" s="19">
        <f t="shared" si="3"/>
        <v>6.7124999999999997E-4</v>
      </c>
      <c r="M17" s="27">
        <f t="shared" si="4"/>
        <v>1.4624999999999998E-4</v>
      </c>
      <c r="N17" s="24" t="s">
        <v>36</v>
      </c>
      <c r="O17" s="24" t="s">
        <v>36</v>
      </c>
    </row>
    <row r="18" spans="1:15" x14ac:dyDescent="0.3">
      <c r="A18" s="9" t="s">
        <v>19</v>
      </c>
      <c r="B18" s="9">
        <v>-3.2</v>
      </c>
      <c r="C18" s="10">
        <f t="shared" si="0"/>
        <v>3.2</v>
      </c>
      <c r="D18" t="s">
        <v>5</v>
      </c>
      <c r="E18" s="23">
        <v>1.354E-3</v>
      </c>
      <c r="F18" s="21">
        <v>2.8600000000000001E-4</v>
      </c>
      <c r="G18" s="23">
        <v>0.39756000000000002</v>
      </c>
      <c r="H18" s="22">
        <v>0.39743000000000001</v>
      </c>
      <c r="I18" s="3">
        <v>1</v>
      </c>
      <c r="J18" s="18">
        <f t="shared" si="1"/>
        <v>2.0122748767481637E-2</v>
      </c>
      <c r="K18" s="20">
        <f t="shared" si="2"/>
        <v>2.0129330951362503E-2</v>
      </c>
      <c r="L18" s="19">
        <f t="shared" si="3"/>
        <v>4.2312499999999994E-4</v>
      </c>
      <c r="M18" s="27">
        <f t="shared" si="4"/>
        <v>8.9375000000000004E-5</v>
      </c>
      <c r="N18" s="24" t="s">
        <v>36</v>
      </c>
      <c r="O18" s="24" t="s">
        <v>36</v>
      </c>
    </row>
    <row r="19" spans="1:15" x14ac:dyDescent="0.3">
      <c r="A19" s="9" t="s">
        <v>20</v>
      </c>
      <c r="B19" s="9">
        <v>-6.4</v>
      </c>
      <c r="C19" s="10">
        <f t="shared" si="0"/>
        <v>3.1999999999999993</v>
      </c>
      <c r="D19" t="s">
        <v>5</v>
      </c>
      <c r="E19" s="23">
        <v>9.8499999999999998E-4</v>
      </c>
      <c r="F19" s="21">
        <v>1.94E-4</v>
      </c>
      <c r="G19" s="23">
        <v>0.39756000000000002</v>
      </c>
      <c r="H19" s="22">
        <v>0.39743000000000001</v>
      </c>
      <c r="I19" s="3">
        <v>1</v>
      </c>
      <c r="J19" s="18">
        <f t="shared" si="1"/>
        <v>2.0122748767481637E-2</v>
      </c>
      <c r="K19" s="20">
        <f t="shared" si="2"/>
        <v>2.0129330951362503E-2</v>
      </c>
      <c r="L19" s="19">
        <f t="shared" si="3"/>
        <v>3.0781250000000009E-4</v>
      </c>
      <c r="M19" s="27">
        <f t="shared" si="4"/>
        <v>6.062500000000001E-5</v>
      </c>
      <c r="N19" s="24" t="s">
        <v>36</v>
      </c>
      <c r="O19" s="24" t="s">
        <v>36</v>
      </c>
    </row>
    <row r="20" spans="1:15" x14ac:dyDescent="0.3">
      <c r="A20" s="15" t="s">
        <v>21</v>
      </c>
      <c r="B20" s="15">
        <v>-9.6</v>
      </c>
      <c r="C20" s="16"/>
      <c r="D20" s="15" t="s">
        <v>5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25" t="s">
        <v>36</v>
      </c>
      <c r="O20" s="25" t="s">
        <v>36</v>
      </c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F578C-441B-4650-9FB3-A673397ECF36}">
  <dimension ref="A1:B35"/>
  <sheetViews>
    <sheetView zoomScale="70" zoomScaleNormal="70" workbookViewId="0">
      <selection activeCell="B20" sqref="B20:B35"/>
    </sheetView>
  </sheetViews>
  <sheetFormatPr defaultRowHeight="14.4" x14ac:dyDescent="0.3"/>
  <cols>
    <col min="1" max="1" width="8.77734375" customWidth="1"/>
  </cols>
  <sheetData>
    <row r="1" spans="1:2" x14ac:dyDescent="0.3">
      <c r="A1" s="1" t="s">
        <v>1</v>
      </c>
    </row>
    <row r="2" spans="1:2" x14ac:dyDescent="0.3">
      <c r="A2" s="2" t="s">
        <v>2</v>
      </c>
    </row>
    <row r="3" spans="1:2" x14ac:dyDescent="0.3">
      <c r="A3">
        <v>46.2</v>
      </c>
      <c r="B3">
        <v>1.6276666666666668E-3</v>
      </c>
    </row>
    <row r="4" spans="1:2" x14ac:dyDescent="0.3">
      <c r="A4">
        <v>43.2</v>
      </c>
      <c r="B4">
        <v>1.5966666666666659E-3</v>
      </c>
    </row>
    <row r="5" spans="1:2" x14ac:dyDescent="0.3">
      <c r="A5">
        <v>39.6</v>
      </c>
      <c r="B5">
        <v>1.6411111111111105E-3</v>
      </c>
    </row>
    <row r="6" spans="1:2" x14ac:dyDescent="0.3">
      <c r="A6">
        <v>36</v>
      </c>
      <c r="B6">
        <v>1.6788888888888882E-3</v>
      </c>
    </row>
    <row r="7" spans="1:2" x14ac:dyDescent="0.3">
      <c r="A7">
        <v>32.4</v>
      </c>
      <c r="B7">
        <v>1.6741666666666678E-3</v>
      </c>
    </row>
    <row r="8" spans="1:2" x14ac:dyDescent="0.3">
      <c r="A8">
        <v>28.8</v>
      </c>
      <c r="B8">
        <v>1.6230555555555549E-3</v>
      </c>
    </row>
    <row r="9" spans="1:2" x14ac:dyDescent="0.3">
      <c r="A9">
        <v>25.2</v>
      </c>
      <c r="B9">
        <v>1.5980555555555566E-3</v>
      </c>
    </row>
    <row r="10" spans="1:2" x14ac:dyDescent="0.3">
      <c r="A10">
        <v>21.6</v>
      </c>
      <c r="B10">
        <v>1.5541666666666662E-3</v>
      </c>
    </row>
    <row r="11" spans="1:2" x14ac:dyDescent="0.3">
      <c r="A11">
        <v>18</v>
      </c>
      <c r="B11">
        <v>1.4897222222222224E-3</v>
      </c>
    </row>
    <row r="12" spans="1:2" x14ac:dyDescent="0.3">
      <c r="A12">
        <v>14.4</v>
      </c>
      <c r="B12">
        <v>1.3894444444444447E-3</v>
      </c>
    </row>
    <row r="13" spans="1:2" x14ac:dyDescent="0.3">
      <c r="A13">
        <v>10.8</v>
      </c>
      <c r="B13">
        <v>1.311111111111111E-3</v>
      </c>
    </row>
    <row r="14" spans="1:2" x14ac:dyDescent="0.3">
      <c r="A14">
        <v>7.2</v>
      </c>
      <c r="B14">
        <v>1.2833333333333334E-3</v>
      </c>
    </row>
    <row r="15" spans="1:2" x14ac:dyDescent="0.3">
      <c r="A15">
        <v>3.6</v>
      </c>
      <c r="B15">
        <v>1.2386111111111111E-3</v>
      </c>
    </row>
    <row r="16" spans="1:2" x14ac:dyDescent="0.3">
      <c r="A16">
        <v>0</v>
      </c>
      <c r="B16">
        <v>6.7124999999999997E-4</v>
      </c>
    </row>
    <row r="17" spans="1:2" x14ac:dyDescent="0.3">
      <c r="A17">
        <v>-3.2</v>
      </c>
      <c r="B17">
        <v>4.2312499999999994E-4</v>
      </c>
    </row>
    <row r="18" spans="1:2" x14ac:dyDescent="0.3">
      <c r="A18">
        <v>-6.4</v>
      </c>
      <c r="B18">
        <v>3.0781250000000009E-4</v>
      </c>
    </row>
    <row r="19" spans="1:2" x14ac:dyDescent="0.3">
      <c r="A19">
        <v>-9.6</v>
      </c>
      <c r="B19">
        <v>0</v>
      </c>
    </row>
    <row r="20" spans="1:2" x14ac:dyDescent="0.3">
      <c r="A20">
        <v>-6.4</v>
      </c>
      <c r="B20">
        <v>1.6276666666666668E-3</v>
      </c>
    </row>
    <row r="21" spans="1:2" x14ac:dyDescent="0.3">
      <c r="A21">
        <v>-3.2</v>
      </c>
      <c r="B21">
        <v>1.5966666666666659E-3</v>
      </c>
    </row>
    <row r="22" spans="1:2" x14ac:dyDescent="0.3">
      <c r="A22">
        <v>0</v>
      </c>
      <c r="B22">
        <v>1.6411111111111105E-3</v>
      </c>
    </row>
    <row r="23" spans="1:2" x14ac:dyDescent="0.3">
      <c r="A23">
        <v>3.6</v>
      </c>
      <c r="B23">
        <v>1.6788888888888882E-3</v>
      </c>
    </row>
    <row r="24" spans="1:2" x14ac:dyDescent="0.3">
      <c r="A24">
        <v>7.2</v>
      </c>
      <c r="B24">
        <v>1.6741666666666678E-3</v>
      </c>
    </row>
    <row r="25" spans="1:2" x14ac:dyDescent="0.3">
      <c r="A25">
        <v>10.8</v>
      </c>
      <c r="B25">
        <v>1.6230555555555549E-3</v>
      </c>
    </row>
    <row r="26" spans="1:2" x14ac:dyDescent="0.3">
      <c r="A26">
        <v>14.4</v>
      </c>
      <c r="B26">
        <v>1.5980555555555566E-3</v>
      </c>
    </row>
    <row r="27" spans="1:2" x14ac:dyDescent="0.3">
      <c r="A27">
        <v>18</v>
      </c>
      <c r="B27">
        <v>1.5541666666666662E-3</v>
      </c>
    </row>
    <row r="28" spans="1:2" x14ac:dyDescent="0.3">
      <c r="A28">
        <v>21.6</v>
      </c>
      <c r="B28">
        <v>1.4897222222222224E-3</v>
      </c>
    </row>
    <row r="29" spans="1:2" x14ac:dyDescent="0.3">
      <c r="A29">
        <v>25.2</v>
      </c>
      <c r="B29">
        <v>1.3894444444444447E-3</v>
      </c>
    </row>
    <row r="30" spans="1:2" x14ac:dyDescent="0.3">
      <c r="A30">
        <v>28.8</v>
      </c>
      <c r="B30">
        <v>1.311111111111111E-3</v>
      </c>
    </row>
    <row r="31" spans="1:2" x14ac:dyDescent="0.3">
      <c r="A31">
        <v>32.4</v>
      </c>
      <c r="B31">
        <v>1.2833333333333334E-3</v>
      </c>
    </row>
    <row r="32" spans="1:2" x14ac:dyDescent="0.3">
      <c r="A32">
        <v>36</v>
      </c>
      <c r="B32">
        <v>1.2386111111111111E-3</v>
      </c>
    </row>
    <row r="33" spans="1:2" x14ac:dyDescent="0.3">
      <c r="A33">
        <v>39.6</v>
      </c>
      <c r="B33">
        <v>6.7124999999999997E-4</v>
      </c>
    </row>
    <row r="34" spans="1:2" x14ac:dyDescent="0.3">
      <c r="A34">
        <v>43.2</v>
      </c>
      <c r="B34">
        <v>4.2312499999999994E-4</v>
      </c>
    </row>
    <row r="35" spans="1:2" x14ac:dyDescent="0.3">
      <c r="A35">
        <v>46.2</v>
      </c>
      <c r="B35">
        <v>3.0781250000000009E-4</v>
      </c>
    </row>
  </sheetData>
  <sortState xmlns:xlrd2="http://schemas.microsoft.com/office/spreadsheetml/2017/richdata2" ref="F9:G24">
    <sortCondition ref="F8:F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Story Response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İbrahim Çayır</dc:creator>
  <cp:lastModifiedBy>İbrahim Çayır</cp:lastModifiedBy>
  <dcterms:created xsi:type="dcterms:W3CDTF">2025-11-10T10:55:55Z</dcterms:created>
  <dcterms:modified xsi:type="dcterms:W3CDTF">2025-11-10T15:10:46Z</dcterms:modified>
</cp:coreProperties>
</file>